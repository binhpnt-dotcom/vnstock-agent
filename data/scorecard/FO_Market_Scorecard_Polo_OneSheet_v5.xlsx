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0763e866ff8814f/Binh's documents/4. Personal documents/3. Polo investing framework/"/>
    </mc:Choice>
  </mc:AlternateContent>
  <xr:revisionPtr revIDLastSave="41" documentId="8_{04CFCA88-3781-48F8-8A1C-C6DAED99F2F5}" xr6:coauthVersionLast="47" xr6:coauthVersionMax="47" xr10:uidLastSave="{5B37ACCC-D1A1-410D-90C5-592B154118E1}"/>
  <bookViews>
    <workbookView xWindow="-98" yWindow="-98" windowWidth="21795" windowHeight="13875" xr2:uid="{00000000-000D-0000-FFFF-FFFF00000000}"/>
  </bookViews>
  <sheets>
    <sheet name="Market_Scorecard_Polo" sheetId="1" r:id="rId1"/>
  </sheets>
  <definedNames>
    <definedName name="C_SPX">Market_Scorecard_Polo!$C$46</definedName>
    <definedName name="CyclePhase">Market_Scorecard_Polo!$J$8</definedName>
    <definedName name="CyclePsych">Market_Scorecard_Polo!$B$57</definedName>
    <definedName name="Macro">Market_Scorecard_Polo!$F$8</definedName>
    <definedName name="MarketScore">Market_Scorecard_Polo!$B$59</definedName>
    <definedName name="Net_liq">Market_Scorecard_Polo!$C$36</definedName>
    <definedName name="OverallMarketScore">Market_Scorecard_Polo!$B$59</definedName>
    <definedName name="PrevLiq">Market_Scorecard_Polo!$I$9</definedName>
    <definedName name="Turnover">Market_Scorecard_Polo!$C$43</definedName>
  </definedNames>
  <calcPr calcId="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1" i="1"/>
  <c r="D36" i="1"/>
  <c r="E36" i="1" s="1"/>
  <c r="E46" i="1"/>
  <c r="D46" i="1"/>
  <c r="G46" i="1"/>
  <c r="D47" i="1"/>
  <c r="E47" i="1" s="1"/>
  <c r="G47" i="1"/>
  <c r="G36" i="1"/>
  <c r="D32" i="1"/>
  <c r="E32" i="1" s="1"/>
  <c r="G48" i="1"/>
  <c r="D48" i="1"/>
  <c r="E48" i="1" s="1"/>
  <c r="C44" i="1"/>
  <c r="C39" i="1"/>
  <c r="D39" i="1" s="1"/>
  <c r="E39" i="1" s="1"/>
  <c r="G38" i="1"/>
  <c r="D38" i="1"/>
  <c r="E38" i="1" s="1"/>
  <c r="G39" i="1"/>
  <c r="G37" i="1"/>
  <c r="D37" i="1"/>
  <c r="E37" i="1" s="1"/>
  <c r="C27" i="1"/>
  <c r="C26" i="1"/>
  <c r="C25" i="1"/>
  <c r="D21" i="1"/>
  <c r="E21" i="1" s="1"/>
  <c r="C20" i="1"/>
  <c r="G21" i="1"/>
  <c r="E3" i="1"/>
  <c r="C17" i="1"/>
  <c r="C18" i="1"/>
  <c r="C19" i="1"/>
  <c r="G49" i="1" l="1"/>
  <c r="D49" i="1"/>
  <c r="E49" i="1" s="1"/>
  <c r="G45" i="1"/>
  <c r="D45" i="1"/>
  <c r="E45" i="1" s="1"/>
  <c r="G44" i="1"/>
  <c r="D44" i="1"/>
  <c r="E44" i="1" s="1"/>
  <c r="G43" i="1"/>
  <c r="D43" i="1"/>
  <c r="E43" i="1" s="1"/>
  <c r="G42" i="1"/>
  <c r="D42" i="1"/>
  <c r="E42" i="1" s="1"/>
  <c r="G41" i="1"/>
  <c r="D41" i="1"/>
  <c r="E41" i="1" s="1"/>
  <c r="G40" i="1"/>
  <c r="D40" i="1"/>
  <c r="E40" i="1" s="1"/>
  <c r="G35" i="1"/>
  <c r="D35" i="1"/>
  <c r="E35" i="1" s="1"/>
  <c r="G34" i="1"/>
  <c r="D34" i="1"/>
  <c r="E34" i="1" s="1"/>
  <c r="G33" i="1"/>
  <c r="C33" i="1"/>
  <c r="D33" i="1" s="1"/>
  <c r="E33" i="1" s="1"/>
  <c r="G31" i="1"/>
  <c r="D31" i="1"/>
  <c r="E31" i="1" s="1"/>
  <c r="G30" i="1"/>
  <c r="D30" i="1"/>
  <c r="E30" i="1" s="1"/>
  <c r="G29" i="1"/>
  <c r="D29" i="1"/>
  <c r="E29" i="1" s="1"/>
  <c r="G28" i="1"/>
  <c r="D28" i="1"/>
  <c r="E28" i="1" s="1"/>
  <c r="G27" i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G20" i="1"/>
  <c r="D20" i="1"/>
  <c r="E20" i="1" s="1"/>
  <c r="G19" i="1"/>
  <c r="D19" i="1"/>
  <c r="E19" i="1" s="1"/>
  <c r="G18" i="1"/>
  <c r="D18" i="1"/>
  <c r="E18" i="1" s="1"/>
  <c r="G17" i="1"/>
  <c r="D17" i="1"/>
  <c r="E17" i="1" s="1"/>
  <c r="H9" i="1"/>
  <c r="F8" i="1" l="1"/>
  <c r="B54" i="1"/>
  <c r="B55" i="1" l="1"/>
  <c r="B56" i="1"/>
  <c r="B53" i="1"/>
  <c r="B57" i="1" a="1"/>
  <c r="B57" i="1" s="1"/>
  <c r="H8" i="1" s="1"/>
  <c r="J8" i="1" s="1" a="1"/>
  <c r="J8" i="1" s="1"/>
  <c r="B59" i="1" l="1"/>
  <c r="A72" i="1" s="1"/>
  <c r="B61" i="1" l="1" a="1"/>
  <c r="B61" i="1" s="1"/>
  <c r="B62" i="1" s="1"/>
  <c r="B60" i="1"/>
  <c r="C67" i="1"/>
  <c r="C66" i="1"/>
  <c r="C68" i="1" l="1"/>
  <c r="D68" i="1" s="1"/>
  <c r="D69" i="1"/>
  <c r="D67" i="1"/>
  <c r="D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tc={7EB2949C-5AC2-4A6B-BB02-5A14D33A3A5E}</author>
    <author>Binh Phan</author>
    <author>tc={589542D2-B724-4B38-AC14-8D3681B60C84}</author>
    <author>tc={6341DA7F-F015-4B1A-B52B-99E7E35172F7}</author>
  </authors>
  <commentList>
    <comment ref="B5" authorId="0" shapeId="0" xr:uid="{7EB2949C-5AC2-4A6B-BB02-5A14D33A3A5E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fiintrade</t>
      </text>
    </comment>
    <comment ref="F8" authorId="1" shapeId="0" xr:uid="{43F3207C-3F80-478E-8C6C-F387AE9521F6}">
      <text>
        <r>
          <rPr>
            <b/>
            <sz val="9"/>
            <color indexed="81"/>
            <rFont val="Tahoma"/>
            <family val="2"/>
          </rPr>
          <t>Binh Phan:</t>
        </r>
        <r>
          <rPr>
            <sz val="9"/>
            <color indexed="81"/>
            <rFont val="Tahoma"/>
            <family val="2"/>
          </rPr>
          <t xml:space="preserve">
input từ credit growth, plicty rate, omo, deposite rate (12M), OMO, có thể thêm policy rate</t>
        </r>
      </text>
    </comment>
    <comment ref="C36" authorId="2" shapeId="0" xr:uid="{589542D2-B724-4B38-AC14-8D3681B60C84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từ vbma</t>
      </text>
    </comment>
    <comment ref="C38" authorId="3" shapeId="0" xr:uid="{6341DA7F-F015-4B1A-B52B-99E7E35172F7}">
      <text>
        <t>[Threaded comment]
Your version of Excel allows you to read this threaded comment; however, any edits to it will get removed if the file is opened in a newer version of Excel. Learn more: https://go.microsoft.com/fwlink/?linkid=870924
Comment:
    Findicator</t>
      </text>
    </comment>
    <comment ref="B46" authorId="1" shapeId="0" xr:uid="{F3027490-2E62-4247-9AE1-888700964B80}">
      <text>
        <r>
          <rPr>
            <b/>
            <sz val="9"/>
            <color indexed="81"/>
            <rFont val="Tahoma"/>
            <family val="2"/>
          </rPr>
          <t>Binh Phan:</t>
        </r>
        <r>
          <rPr>
            <sz val="9"/>
            <color indexed="81"/>
            <rFont val="Tahoma"/>
            <family val="2"/>
          </rPr>
          <t xml:space="preserve">
https://stockcharts.com/sc3/ui/?s=%24SPXA200R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<sst xmlns="http://schemas.openxmlformats.org/spreadsheetml/2006/main" count="256" uniqueCount="188">
  <si>
    <t>FO Market Scorecard – Polo Investing (One Sheet)</t>
  </si>
  <si>
    <t>Last updated:</t>
  </si>
  <si>
    <t>Liquidity Reference Bands (Avg-based)</t>
  </si>
  <si>
    <t>AsOfDate (Week ending)</t>
  </si>
  <si>
    <t>Group Weights</t>
  </si>
  <si>
    <t>Band</t>
  </si>
  <si>
    <t>Avg (VND bn)</t>
  </si>
  <si>
    <t>VNIndex Zone</t>
  </si>
  <si>
    <t>Cycle Phase</t>
  </si>
  <si>
    <t>Strategy / Preferred Sectors</t>
  </si>
  <si>
    <t>Value</t>
  </si>
  <si>
    <t>10k–15k</t>
  </si>
  <si>
    <t>≈12,000</t>
  </si>
  <si>
    <t>1,050–1,200</t>
  </si>
  <si>
    <t>Fear / Capitulation</t>
  </si>
  <si>
    <t>VNIndex (spot)</t>
  </si>
  <si>
    <t>Technical</t>
  </si>
  <si>
    <t>15k–25k</t>
  </si>
  <si>
    <t>≈22,000</t>
  </si>
  <si>
    <t>1,200–1,350</t>
  </si>
  <si>
    <t>Early Accumulation / Skeptical Recovery</t>
  </si>
  <si>
    <t>20D Avg Liquidity (VND bn)</t>
  </si>
  <si>
    <t>Flow</t>
  </si>
  <si>
    <t>25k–40k</t>
  </si>
  <si>
    <t>≈35,000</t>
  </si>
  <si>
    <t>1,350–1,550</t>
  </si>
  <si>
    <t>Macro</t>
  </si>
  <si>
    <t>&gt;40k</t>
  </si>
  <si>
    <t>≈45,000+</t>
  </si>
  <si>
    <t>1,550–1,750+</t>
  </si>
  <si>
    <t>FOMO / Late-cycle Blow-off</t>
  </si>
  <si>
    <t>Cycle × Macro × Psychology Map</t>
  </si>
  <si>
    <t>CyclePsych</t>
  </si>
  <si>
    <t>Macro Regime</t>
  </si>
  <si>
    <t>Sentiment Regime</t>
  </si>
  <si>
    <t>Cycle Phase (auto)</t>
  </si>
  <si>
    <t>E ngại (Low sentiment)</t>
  </si>
  <si>
    <t>Hưng phấn (High sentiment)</t>
  </si>
  <si>
    <t>Current 20D Liquidity Band</t>
  </si>
  <si>
    <t>Nới lỏng (Easy policy)</t>
  </si>
  <si>
    <t>Early Recovery</t>
  </si>
  <si>
    <t>Mid-cycle Momentum</t>
  </si>
  <si>
    <t>Thắt chặt (Tight policy)</t>
  </si>
  <si>
    <t>Late Expansion</t>
  </si>
  <si>
    <t>Downturn / Repricing</t>
  </si>
  <si>
    <t>Group</t>
  </si>
  <si>
    <t>Factor</t>
  </si>
  <si>
    <t>CurrentValue</t>
  </si>
  <si>
    <t>Score10 (auto)</t>
  </si>
  <si>
    <t>Score100 (auto)</t>
  </si>
  <si>
    <t>Weight_in_Group</t>
  </si>
  <si>
    <t>GroupWeight (ref)</t>
  </si>
  <si>
    <t>GoodThreshold</t>
  </si>
  <si>
    <t>BadThreshold</t>
  </si>
  <si>
    <t>LowerIsBetter (1=Yes)</t>
  </si>
  <si>
    <t>Notes</t>
  </si>
  <si>
    <t>Frequency</t>
  </si>
  <si>
    <t>P/E vs 5Y mean (z-score)</t>
  </si>
  <si>
    <t>Lower better; cheap when z&lt;-0.5</t>
  </si>
  <si>
    <t>Monthly</t>
  </si>
  <si>
    <t>P/B vs 5Y mean (z-score)</t>
  </si>
  <si>
    <t>PEG (Index)</t>
  </si>
  <si>
    <t>Quarterly</t>
  </si>
  <si>
    <t>ROE (TTM, %)</t>
  </si>
  <si>
    <t>Higher better; &gt;18% strong</t>
  </si>
  <si>
    <t>RSI (VNIndex, 14d)</t>
  </si>
  <si>
    <t>Weekly</t>
  </si>
  <si>
    <t>% stocks &gt; MA50 (ratio)</t>
  </si>
  <si>
    <t>&lt;0.35 best; &gt;0.80 worst</t>
  </si>
  <si>
    <t>Liquidity vs 6M avg (ratio)</t>
  </si>
  <si>
    <t>Below avg better; crowding when high</t>
  </si>
  <si>
    <t>&lt;=0.8 best; &gt;1.2 worst</t>
  </si>
  <si>
    <t>Margin utilization (ratio of assets)</t>
  </si>
  <si>
    <t>ETF + Foreign flow (VND bn, weekly)</t>
  </si>
  <si>
    <t>Positive inflow is good</t>
  </si>
  <si>
    <t>Band scoring: &lt;=15k→10; 15–25k→7; 25–40k→4; &gt;40k→2</t>
  </si>
  <si>
    <t>Credit growth YoY (%)</t>
  </si>
  <si>
    <t>CPI YoY (%)</t>
  </si>
  <si>
    <t>Fear &amp; Greed (VN proxy)</t>
  </si>
  <si>
    <t>Margin debt / Market NAV (ratio)</t>
  </si>
  <si>
    <t>% new 52W highs (market)</t>
  </si>
  <si>
    <t>Inflow positive, outflow negative</t>
  </si>
  <si>
    <t>Group Score (0-100)</t>
  </si>
  <si>
    <t>Overall Market Score (0-100)</t>
  </si>
  <si>
    <t>Stance</t>
  </si>
  <si>
    <t>Suggested Equity Weight (of NAV)</t>
  </si>
  <si>
    <t>Suggested Leverage (Equity Weight - 1)</t>
  </si>
  <si>
    <t>Polo Allocation Engine</t>
  </si>
  <si>
    <t>Layer</t>
  </si>
  <si>
    <t>Role</t>
  </si>
  <si>
    <t>% of Equity</t>
  </si>
  <si>
    <t>% of NAV</t>
  </si>
  <si>
    <t>Core Compounders (C)</t>
  </si>
  <si>
    <t>Quality, stable, protect NAV</t>
  </si>
  <si>
    <t>Growth Catalysts (G)</t>
  </si>
  <si>
    <t>Cyclical / policy / event-driven</t>
  </si>
  <si>
    <t>Lynch/Fisher Layer (L)</t>
  </si>
  <si>
    <t>Small/mid cap potential multi-baggers</t>
  </si>
  <si>
    <t>Niche small/mid, only when liquidity not overheated</t>
  </si>
  <si>
    <t>Cash / Defensive</t>
  </si>
  <si>
    <t>Buffer, constraint capital</t>
  </si>
  <si>
    <t>Used to de-risk in late-cycle / FOMO phase</t>
  </si>
  <si>
    <t>Polo Narrative (auto)</t>
  </si>
  <si>
    <t>Hướng dẫn sử dụng (Usage Guide)</t>
  </si>
  <si>
    <t>1) Mỗi tuần: cập nhật AsOfDate, VNIndex, 20D Avg Liquidity và cột CurrentValue cho các chỉ tiêu có tần suất Weekly / Monthly / Quarterly.</t>
  </si>
  <si>
    <t>2) Xem Group Scores và Overall Market Score để biết thị trường đang ở vùng Tích lũy / Trung tính / Rủi ro.</t>
  </si>
  <si>
    <t>3) Đọc Macro Regime, Sentiment Regime và Cycle Phase (auto) ở phía trên để hiểu pha chu kỳ định tính.</t>
  </si>
  <si>
    <t>4) Dựa vào Suggested Equity Weight (of NAV) và bảng Polo Allocation Engine để phân bổ C / G / L và Cash.</t>
  </si>
  <si>
    <t>Valuation</t>
  </si>
  <si>
    <t>P/E</t>
  </si>
  <si>
    <t>P/B</t>
  </si>
  <si>
    <t>Current</t>
  </si>
  <si>
    <t>Avg 5Y</t>
  </si>
  <si>
    <t>-2SD</t>
  </si>
  <si>
    <t>-1SD</t>
  </si>
  <si>
    <t>1SD</t>
  </si>
  <si>
    <t>2SD</t>
  </si>
  <si>
    <t>Good when &lt;1 (→ PEG &lt; 1 = rẻ→ PEG 1–1.5 = hợp lý→ PEG &gt; 2 = đắt)</t>
  </si>
  <si>
    <t>Growth avg (%)</t>
  </si>
  <si>
    <t>CoE (%)</t>
  </si>
  <si>
    <t>Lower better; cheap capital when current&lt;mean</t>
  </si>
  <si>
    <t xml:space="preserve">CoE Current/ 5Y (%) </t>
  </si>
  <si>
    <t>Technical (sentiment &amp; breadth indicator)</t>
  </si>
  <si>
    <t>Oversold &lt;35; overbought &gt;70 (Trong thị trường VN:
RSI &lt; 32–35 → xác suất hồi phục tăng mạnh
RSI &gt; 70 → FOMO, nhưng chưa chắc đảo chiều ngay)</t>
  </si>
  <si>
    <t>&lt;0.25 best; &gt;0.75 worst (&lt;25% = thị trường cực yếu → vùng buy theo contrarian 75% = thị trường quá nóng → risk-off)</t>
  </si>
  <si>
    <t>% stocks &gt; MA200 (ratio) “trend health indicator”</t>
  </si>
  <si>
    <t>MA 50</t>
  </si>
  <si>
    <t>MA 200</t>
  </si>
  <si>
    <t>&lt;0.97 attractive; &gt;1.03 risky (Detect market overextension Thị trường VN phản ứng rất rõ khi index lệch khỏi MA50 ±3%) VNIndex phản ứng rất rõ với vùng ±3% quanh MA50 — mean reversion xảy ra gần 80% trường hợp trong 5 năm qua. ⚡ Đây là technical indicator mạnh nhất trong 5 năm</t>
  </si>
  <si>
    <t>Index / MA50 (ratio) - timing</t>
  </si>
  <si>
    <t>(20 days ago)</t>
  </si>
  <si>
    <t>More negative = capitulation (=(MA50_today - MA50_20days_ago)/MA50_20days_ago)) 
Ý nghĩa:. &gt; +2.0%	Uptrend mạnh, market nóng, 
+1.0% → +2.0%	Uptrend rõ ràng
0% → +1.0%	Uptrend nhẹ, trend vừa hình thành
0% → -1.0%	Trend suy yếu
&lt; -1.0%	Downtrend rõ ràng
&lt; -2.0%	Capitulation / fear zone</t>
  </si>
  <si>
    <r>
      <rPr>
        <b/>
        <sz val="11"/>
        <color theme="1"/>
        <rFont val="Calibri"/>
        <family val="2"/>
        <scheme val="minor"/>
      </rPr>
      <t>MA50 slope 4w (pct)</t>
    </r>
    <r>
      <rPr>
        <sz val="11"/>
        <color theme="1"/>
        <rFont val="Calibri"/>
        <family val="2"/>
        <scheme val="minor"/>
      </rPr>
      <t xml:space="preserve"> - trend strength; delta 20 phiên</t>
    </r>
  </si>
  <si>
    <t xml:space="preserve">Flow </t>
  </si>
  <si>
    <r>
      <t xml:space="preserve">đo </t>
    </r>
    <r>
      <rPr>
        <i/>
        <sz val="11"/>
        <color theme="1"/>
        <rFont val="Calibri"/>
        <family val="2"/>
        <scheme val="minor"/>
      </rPr>
      <t>behavioral liquidity</t>
    </r>
    <r>
      <rPr>
        <sz val="11"/>
        <color theme="1"/>
        <rFont val="Calibri"/>
        <family val="2"/>
        <scheme val="minor"/>
      </rPr>
      <t xml:space="preserve"> — thứ chi phối market VN rõ hơn technical và valuation trong nhiều giai đoạn.</t>
    </r>
  </si>
  <si>
    <t>(Avg 6M)</t>
  </si>
  <si>
    <t>Market breadth ADR (% advancers/ decliners)</t>
  </si>
  <si>
    <t>FLOW breadth</t>
  </si>
  <si>
    <t>&lt;6 bad; &gt;6.5 good</t>
  </si>
  <si>
    <t>GDP (%)</t>
  </si>
  <si>
    <t>&lt;3 good; &gt;4.5 inflation risk</t>
  </si>
  <si>
    <t>&lt;8 good; &gt;13 financial risk</t>
  </si>
  <si>
    <t>Tỷ giá 01/01/2025 (exchange rate)</t>
  </si>
  <si>
    <t>Tỷ giá hôm nay</t>
  </si>
  <si>
    <t xml:space="preserve">&lt;3% good; &gt;5% bad </t>
  </si>
  <si>
    <t>&gt;15 strong; &lt;12 weak</t>
  </si>
  <si>
    <t>Deposit rate (12M) (%)</t>
  </si>
  <si>
    <t>Ở đây xài lending</t>
  </si>
  <si>
    <t>&lt;5.5 best ; &gt;8 worst; chỉ báo sớm về tăng WACC</t>
  </si>
  <si>
    <t>Exchange rate (USD/VND) (YTD) (%)</t>
  </si>
  <si>
    <t>Margin Utilization (Margin lending vs Equity %) (Đo trên toàn hệ thống)</t>
  </si>
  <si>
    <t>P/E z-score vs 5Y mean</t>
  </si>
  <si>
    <t>Cheap when below -1σ; std 10 năm tầm 2.0-2.3</t>
  </si>
  <si>
    <t>Crowd dominance risk when high
Current: 0.8 (80% giao dịch do retail) Good 0.6 Bad 0.85 =&gt;Tại sao mạnh: Retail dominance = late-cycle greed; Institutions dominance = accumulation phase
&lt;70%: tổ chức dẫn dắt → tín hiệu tích lũy
&gt;80%: retail dominance → giai đoạn topping
&gt;85%: phân phối / cuối trend</t>
  </si>
  <si>
    <t>FDI TTM (YoY), Possitive/ Negative Equity flows</t>
  </si>
  <si>
    <t>&lt;40 fear=good; &gt;70 greed=bad; "Euphoria &amp; Despair”</t>
  </si>
  <si>
    <t>Distribution risk when high; Good: &gt; 8% Bad: &gt; 15% (distribution) Very bad: &gt; 20% (climax) Fiintrade can check</t>
  </si>
  <si>
    <t>Lower safer; &gt;0.5 over-levered  Đây là “Psychology leverage index”
Khác hoàn toàn với Margin Utilization (Flow)
→ Flow = margin của toàn system
→ CyclePsych = risk behavior của retail</t>
  </si>
  <si>
    <t>News Pressure Index (Good News / Bad News)</t>
  </si>
  <si>
    <t>&lt;4 good; &gt;6 bad News Momentum	Mô tả	Score
Bad News Overload	Nhiều tin tiêu cực liên tục	0–2
Bad &gt; Good	Báo chí bearish, retail sợ	3–4
Neutral	Tin lẫn lộn	5
Good &gt; Bad	Tin tốt về FDI, earnings, chính sách	6–7
Good News Mania	Tin tốt bị lạm dụng, narrative quá đà	8–10</t>
  </si>
  <si>
    <t>Indicator input: % headlines negative → dùng dữ liệu finnews AI, hoặc manually: 5–10 tiêu đề top per day từ VnExpress, CafeF, Bloomberg VN</t>
  </si>
  <si>
    <t>FPT, REE, ACB, SIP, VN30 quality</t>
  </si>
  <si>
    <t>Banks mid/high beta, KCN, oil&amp;gas, logistics, retails</t>
  </si>
  <si>
    <t>5) Không cần chỉnh công thức; chỉ thay input ở cột CurrentValue và ô B5–B6. Các phần còn lại tự động cập nhật. Và các cột có highlight vàng</t>
  </si>
  <si>
    <t xml:space="preserve">Institutional Positioning: Fund Cash Drift </t>
  </si>
  <si>
    <t>Đo dòng tiền tổ chức. &lt;40% quỹ tăng tiền = risk-on (deploy capital). &gt;60% quỹ tăng tiền = risk-off (tổ chức giảm rủi ro). Dẫn dắt chu kỳ 1–2 tháng. GoodThreshold = 40% → Khi &lt;40% quỹ tăng tiền → risk-on.
BadThreshold = 60% → Khi &gt;60% quỹ tăng tiền → risk-off.</t>
  </si>
  <si>
    <t>Rediscount (leading)</t>
  </si>
  <si>
    <t>Core compounders, dividends; contrarian accumulation; zero margin</t>
  </si>
  <si>
    <t>Growth catalysts (IDC, GMD, NTP, DGC, logistics, retail); selective banks; low beta</t>
  </si>
  <si>
    <t>Late Expansion / Pre-Blowoff (Crowded Neutral)</t>
  </si>
  <si>
    <t>Sector rotation; reduce G-layer; no chase; beta control; raise cash 10–20%; no margin</t>
  </si>
  <si>
    <t>Trim G-layer; shrink Lynch bets; defensive rotation; raise cash 20–40%; reduce beta; zero margin</t>
  </si>
  <si>
    <t>xài 1.2 upshifting factor</t>
  </si>
  <si>
    <t>ADR &lt; 0.7 → market weak, nearing bottom
ADR 0.7 – 1.0 → neutral
ADR &gt; 1.0 → short-term bullish
ADR &gt; 1.4 → crowded, dễ phân phối
ADR &lt; 0.5 → capitulation (mở L-layer) (Xem tại Vietcap IQ)</t>
  </si>
  <si>
    <t>Retail turnover share (ratio) (tỷ lệ ndt cá nhân gid)</t>
  </si>
  <si>
    <t>Column1</t>
  </si>
  <si>
    <t>&lt;=0.1 best; &gt;0.3 worst Lấy số từ TCBS (đại diện mẫu)</t>
  </si>
  <si>
    <t>Xem ở Topi</t>
  </si>
  <si>
    <t>SP500 breadth (% stocks &gt; 200D MA)</t>
  </si>
  <si>
    <t>Global risk appetite- &lt;30%: sâu bear → 0 điểm, 30–50%: thị trường còn yếu → 4 điểm, 50–70%: breadth bình thường → 7 điểm. 70%: risk-on mạnh → 10 điểm</t>
  </si>
  <si>
    <t>BTC 30D ROC (momentum)</t>
  </si>
  <si>
    <t>VBMA</t>
  </si>
  <si>
    <t>SBV Net Liquidity 4W (k tỷ)</t>
  </si>
  <si>
    <t>-100&lt; bad ; &gt;100 good; SBV Net Liquidity (4W, k tỷ); xem trên VBMA</t>
  </si>
  <si>
    <t>Lower better; cheap when z&lt;-2</t>
  </si>
  <si>
    <t>TPCP 10Y (%)</t>
  </si>
  <si>
    <t>vbma/ investing</t>
  </si>
  <si>
    <t>Global risk appetite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</si>
</sst>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B050"/>
      <name val="Calibri"/>
      <family val="2"/>
    </font>
    <font>
      <b/>
      <sz val="11"/>
      <color rgb="FF00B050"/>
      <name val="Calibri"/>
      <family val="2"/>
    </font>
    <font>
      <b/>
      <sz val="16"/>
      <color rgb="FF002060"/>
      <name val="Calibri"/>
      <family val="2"/>
    </font>
    <font>
      <b/>
      <sz val="11"/>
      <color rgb="FF00206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0"/>
      <color rgb="FF7030A0"/>
      <name val="Arial Unicode MS"/>
    </font>
    <font>
      <sz val="9"/>
      <color indexed="81"/>
      <name val="Tahoma"/>
    </font>
  </fonts>
  <fills count="12">
    <fill>
      <patternFill patternType="none"/>
    </fill>
    <fill>
      <patternFill patternType="gray125"/>
    </fill>
    <fill>
      <patternFill patternType="solid">
        <fgColor rgb="FFE8F4FF"/>
        <bgColor rgb="FFE8F4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9" fontId="0" fillId="3" borderId="0" xfId="1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1" applyFont="1"/>
    <xf numFmtId="2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/>
    <xf numFmtId="0" fontId="0" fillId="4" borderId="0" xfId="0" applyFill="1"/>
    <xf numFmtId="165" fontId="7" fillId="4" borderId="0" xfId="0" applyNumberFormat="1" applyFont="1" applyFill="1"/>
    <xf numFmtId="0" fontId="0" fillId="5" borderId="0" xfId="0" applyFill="1"/>
    <xf numFmtId="165" fontId="7" fillId="5" borderId="0" xfId="0" applyNumberFormat="1" applyFont="1" applyFill="1"/>
    <xf numFmtId="0" fontId="0" fillId="6" borderId="0" xfId="0" applyFill="1"/>
    <xf numFmtId="165" fontId="7" fillId="6" borderId="0" xfId="0" applyNumberFormat="1" applyFont="1" applyFill="1"/>
    <xf numFmtId="0" fontId="0" fillId="7" borderId="0" xfId="0" applyFill="1"/>
    <xf numFmtId="165" fontId="7" fillId="7" borderId="0" xfId="0" applyNumberFormat="1" applyFont="1" applyFill="1"/>
    <xf numFmtId="0" fontId="0" fillId="8" borderId="0" xfId="0" applyFill="1"/>
    <xf numFmtId="165" fontId="7" fillId="8" borderId="0" xfId="0" applyNumberFormat="1" applyFont="1" applyFill="1"/>
    <xf numFmtId="0" fontId="8" fillId="0" borderId="0" xfId="0" applyFont="1" applyAlignment="1">
      <alignment horizontal="right"/>
    </xf>
    <xf numFmtId="0" fontId="9" fillId="0" borderId="0" xfId="0" applyFont="1"/>
    <xf numFmtId="0" fontId="3" fillId="3" borderId="0" xfId="0" applyFont="1" applyFill="1"/>
    <xf numFmtId="165" fontId="3" fillId="3" borderId="0" xfId="0" applyNumberFormat="1" applyFont="1" applyFill="1"/>
    <xf numFmtId="165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5" fontId="0" fillId="3" borderId="0" xfId="0" applyNumberFormat="1" applyFill="1"/>
    <xf numFmtId="9" fontId="0" fillId="3" borderId="0" xfId="0" applyNumberFormat="1" applyFill="1"/>
    <xf numFmtId="2" fontId="0" fillId="3" borderId="0" xfId="0" applyNumberFormat="1" applyFill="1"/>
    <xf numFmtId="0" fontId="0" fillId="0" borderId="1" xfId="0" applyBorder="1"/>
    <xf numFmtId="9" fontId="0" fillId="0" borderId="1" xfId="1" applyFont="1" applyBorder="1"/>
    <xf numFmtId="165" fontId="0" fillId="0" borderId="1" xfId="0" applyNumberFormat="1" applyBorder="1"/>
    <xf numFmtId="9" fontId="0" fillId="0" borderId="0" xfId="0" applyNumberFormat="1"/>
    <xf numFmtId="2" fontId="0" fillId="9" borderId="0" xfId="0" applyNumberFormat="1" applyFill="1"/>
    <xf numFmtId="165" fontId="0" fillId="9" borderId="0" xfId="0" applyNumberFormat="1" applyFill="1"/>
    <xf numFmtId="0" fontId="0" fillId="3" borderId="1" xfId="0" applyFill="1" applyBorder="1"/>
    <xf numFmtId="166" fontId="0" fillId="3" borderId="0" xfId="2" applyNumberFormat="1" applyFont="1" applyFill="1"/>
    <xf numFmtId="166" fontId="0" fillId="0" borderId="1" xfId="2" applyNumberFormat="1" applyFont="1" applyBorder="1"/>
    <xf numFmtId="9" fontId="0" fillId="0" borderId="0" xfId="1" applyFont="1" applyBorder="1"/>
    <xf numFmtId="0" fontId="11" fillId="0" borderId="0" xfId="0" applyFont="1"/>
    <xf numFmtId="0" fontId="0" fillId="9" borderId="0" xfId="0" applyFill="1"/>
    <xf numFmtId="2" fontId="0" fillId="3" borderId="0" xfId="1" applyNumberFormat="1" applyFont="1" applyFill="1"/>
    <xf numFmtId="2" fontId="0" fillId="0" borderId="0" xfId="1" applyNumberFormat="1" applyFont="1"/>
    <xf numFmtId="9" fontId="0" fillId="9" borderId="0" xfId="0" applyNumberFormat="1" applyFill="1"/>
    <xf numFmtId="0" fontId="1" fillId="0" borderId="0" xfId="0" applyFont="1" applyAlignment="1">
      <alignment horizontal="center"/>
    </xf>
    <xf numFmtId="164" fontId="0" fillId="10" borderId="0" xfId="1" applyNumberFormat="1" applyFont="1" applyFill="1"/>
    <xf numFmtId="164" fontId="0" fillId="11" borderId="0" xfId="1" applyNumberFormat="1" applyFont="1" applyFill="1"/>
    <xf numFmtId="2" fontId="0" fillId="11" borderId="0" xfId="0" applyNumberFormat="1" applyFill="1"/>
    <xf numFmtId="0" fontId="0" fillId="11" borderId="0" xfId="0" applyFill="1" applyAlignment="1">
      <alignment horizontal="right"/>
    </xf>
    <xf numFmtId="0" fontId="0" fillId="0" borderId="0" xfId="0" applyAlignment="1">
      <alignment vertical="top"/>
    </xf>
    <xf numFmtId="164" fontId="0" fillId="11" borderId="0" xfId="1" applyNumberFormat="1" applyFont="1" applyFill="1" applyAlignment="1">
      <alignment horizontal="right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top"/>
    </xf>
    <xf numFmtId="0" fontId="3" fillId="11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2" fontId="0" fillId="9" borderId="1" xfId="1" applyNumberFormat="1" applyFont="1" applyFill="1" applyBorder="1"/>
    <xf numFmtId="164" fontId="0" fillId="9" borderId="0" xfId="1" applyNumberFormat="1" applyFont="1" applyFill="1"/>
    <xf numFmtId="0" fontId="14" fillId="0" borderId="0" xfId="0" applyFont="1"/>
    <xf numFmtId="0" fontId="15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2" fontId="0" fillId="3" borderId="1" xfId="0" applyNumberFormat="1" applyFill="1" applyBorder="1"/>
    <xf numFmtId="14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0.0"/>
    </dxf>
    <dxf>
      <numFmt numFmtId="165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E8F4FF"/>
          <bgColor rgb="FFE8F4FF"/>
        </patternFill>
      </fill>
      <alignment horizontal="center" vertical="top" textRotation="0" wrapText="1" indent="0" justifyLastLine="0" shrinkToFit="0" readingOrder="0"/>
    </dxf>
  </dxfs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166520</xdr:colOff>
      <xdr:row>6</xdr:row>
      <xdr:rowOff>23394</xdr:rowOff>
    </xdr:from>
    <xdr:to>
      <xdr:col>22</xdr:col>
      <xdr:colOff>241554</xdr:colOff>
      <xdr:row>16</xdr:row>
      <xdr:rowOff>15324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67AC7D-F86F-498C-FFEF-563F4B32E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6083" y="1221957"/>
          <a:ext cx="6619503" cy="19927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han Bình" id="{9606C9BD-B341-44AF-BD43-1F2A44D69512}" userId="70763e866ff8814f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528089-7F19-40DB-BCCD-6D209967C324}" name="Table1" displayName="Table1" ref="A16:M49" totalsRowShown="0" headerRowDxfId="4">
  <autoFilter ref="A16:M49" xr:uid="{2B528089-7F19-40DB-BCCD-6D209967C324}">
    <filterColumn colId="11">
      <filters>
        <filter val="Monthly"/>
        <filter val="Weekly"/>
      </filters>
    </filterColumn>
  </autoFilter>
  <tableColumns count="13">
    <tableColumn id="1" xr3:uid="{E391962C-D92D-4EAF-8344-878D4C84FA6C}" name="Group"/>
    <tableColumn id="2" xr3:uid="{3A12976D-1ACB-41AA-AB11-C15C78104A96}" name="Factor"/>
    <tableColumn id="3" xr3:uid="{E51455A8-6F49-42A7-BE02-6B4C439F7121}" name="CurrentValue"/>
    <tableColumn id="4" xr3:uid="{E1B302D4-272D-425E-A706-D64BC7E2EF80}" name="Score10 (auto)" dataDxfId="3">
      <calculatedColumnFormula>IF(J17=1, MAX(0,MIN(10,(I17-C17)/(I17-H17)*10)), MAX(0,MIN(10,(C17-I17)/(H17-I17)*10)))</calculatedColumnFormula>
    </tableColumn>
    <tableColumn id="5" xr3:uid="{8A8B6C23-1937-4632-92EC-69FD99A50F2F}" name="Score100 (auto)" dataDxfId="2">
      <calculatedColumnFormula>D17*10</calculatedColumnFormula>
    </tableColumn>
    <tableColumn id="6" xr3:uid="{7BF976A0-7D6A-49E7-B94C-C5625732787B}" name="Weight_in_Group" dataDxfId="1" dataCellStyle="Percent"/>
    <tableColumn id="7" xr3:uid="{4312FAA3-B972-4459-9578-B056DDE77F99}" name="GroupWeight (ref)" dataDxfId="0">
      <calculatedColumnFormula>$E$8</calculatedColumnFormula>
    </tableColumn>
    <tableColumn id="8" xr3:uid="{EAA110C9-09A3-4D84-B1DC-024B0B1FE928}" name="GoodThreshold"/>
    <tableColumn id="9" xr3:uid="{379B1C4F-5092-4226-A08D-4F2C7DD3B97A}" name="BadThreshold"/>
    <tableColumn id="10" xr3:uid="{175471FE-DB0A-4F43-80FA-57AF5786769A}" name="LowerIsBetter (1=Yes)"/>
    <tableColumn id="11" xr3:uid="{6E187B2D-46C1-4E0F-8372-CCA6120185C6}" name="Notes"/>
    <tableColumn id="12" xr3:uid="{41B6DD1F-DEEB-4D38-9C44-93778F5A466A}" name="Frequency"/>
    <tableColumn id="13" xr3:uid="{96E2371A-311F-403A-B83F-C8963256075B}" name="Column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12-02T06:44:00.33" personId="{9606C9BD-B341-44AF-BD43-1F2A44D69512}" id="{7EB2949C-5AC2-4A6B-BB02-5A14D33A3A5E}">
    <text>Check fiintrade</text>
  </threadedComment>
  <threadedComment ref="C36" dT="2025-12-02T07:44:27.00" personId="{9606C9BD-B341-44AF-BD43-1F2A44D69512}" id="{589542D2-B724-4B38-AC14-8D3681B60C84}">
    <text>Check từ vbma</text>
  </threadedComment>
  <threadedComment ref="C38" dT="2025-12-02T07:46:46.53" personId="{9606C9BD-B341-44AF-BD43-1F2A44D69512}" id="{6341DA7F-F015-4B1A-B52B-99E7E35172F7}">
    <text>Findicator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zoomScale="80" zoomScaleNormal="80" workbookViewId="0">
      <pane ySplit="16" topLeftCell="A53" activePane="bottomLeft" state="frozen"/>
      <selection pane="bottomLeft" activeCell="H60" sqref="H60"/>
    </sheetView>
  </sheetViews>
  <sheetFormatPr defaultRowHeight="14.25"/>
  <cols>
    <col min="1" max="1" width="28.53125" customWidth="1"/>
    <col min="2" max="2" width="33.53125" customWidth="1"/>
    <col min="3" max="4" width="16" customWidth="1"/>
    <col min="5" max="5" width="15.6640625" customWidth="1"/>
    <col min="6" max="6" width="13.6640625" customWidth="1"/>
    <col min="7" max="7" width="14.796875" customWidth="1"/>
    <col min="8" max="8" width="14.73046875" customWidth="1"/>
    <col min="9" max="9" width="15.06640625" customWidth="1"/>
    <col min="10" max="10" width="20.19921875" customWidth="1"/>
    <col min="11" max="11" width="54.6640625" customWidth="1"/>
    <col min="12" max="12" width="14" customWidth="1"/>
    <col min="13" max="13" width="9.59765625" customWidth="1"/>
  </cols>
  <sheetData>
    <row r="1" spans="1:13" ht="17.25" customHeight="1">
      <c r="A1" s="7" t="s">
        <v>0</v>
      </c>
    </row>
    <row r="2" spans="1:13" ht="14.25" customHeight="1">
      <c r="A2" s="1" t="s">
        <v>1</v>
      </c>
      <c r="B2" s="67">
        <v>45669</v>
      </c>
      <c r="D2" s="13"/>
      <c r="G2" s="5" t="s">
        <v>2</v>
      </c>
    </row>
    <row r="3" spans="1:13">
      <c r="A3" t="s">
        <v>3</v>
      </c>
      <c r="D3" s="6" t="s">
        <v>4</v>
      </c>
      <c r="E3" s="37">
        <f>SUM(E4:E7)</f>
        <v>1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1:13">
      <c r="A4" s="1" t="s">
        <v>15</v>
      </c>
      <c r="B4" s="3">
        <v>1701.67</v>
      </c>
      <c r="D4" s="1" t="s">
        <v>10</v>
      </c>
      <c r="E4" s="4">
        <v>0.35</v>
      </c>
      <c r="G4" t="s">
        <v>11</v>
      </c>
      <c r="H4" t="s">
        <v>12</v>
      </c>
      <c r="I4" t="s">
        <v>13</v>
      </c>
      <c r="J4" t="s">
        <v>14</v>
      </c>
      <c r="K4" s="54" t="s">
        <v>167</v>
      </c>
    </row>
    <row r="5" spans="1:13">
      <c r="A5" s="1" t="s">
        <v>21</v>
      </c>
      <c r="B5" s="3">
        <v>20567</v>
      </c>
      <c r="D5" s="1" t="s">
        <v>16</v>
      </c>
      <c r="E5" s="4">
        <v>0.2</v>
      </c>
      <c r="G5" t="s">
        <v>17</v>
      </c>
      <c r="H5" t="s">
        <v>18</v>
      </c>
      <c r="I5" t="s">
        <v>19</v>
      </c>
      <c r="J5" t="s">
        <v>20</v>
      </c>
      <c r="K5" t="s">
        <v>168</v>
      </c>
    </row>
    <row r="6" spans="1:13">
      <c r="A6" s="44" t="s">
        <v>142</v>
      </c>
      <c r="B6" s="45">
        <v>25400</v>
      </c>
      <c r="D6" s="1" t="s">
        <v>22</v>
      </c>
      <c r="E6" s="4">
        <v>0.2</v>
      </c>
      <c r="G6" t="s">
        <v>23</v>
      </c>
      <c r="H6" t="s">
        <v>24</v>
      </c>
      <c r="I6" t="s">
        <v>25</v>
      </c>
      <c r="J6" t="s">
        <v>169</v>
      </c>
      <c r="K6" t="s">
        <v>170</v>
      </c>
    </row>
    <row r="7" spans="1:13">
      <c r="A7" s="44" t="s">
        <v>143</v>
      </c>
      <c r="B7" s="3">
        <v>26410</v>
      </c>
      <c r="C7" t="s">
        <v>181</v>
      </c>
      <c r="D7" s="1" t="s">
        <v>26</v>
      </c>
      <c r="E7" s="4">
        <v>0.25</v>
      </c>
      <c r="G7" t="s">
        <v>27</v>
      </c>
      <c r="H7" t="s">
        <v>28</v>
      </c>
      <c r="I7" t="s">
        <v>29</v>
      </c>
      <c r="J7" t="s">
        <v>30</v>
      </c>
      <c r="K7" t="s">
        <v>171</v>
      </c>
    </row>
    <row r="8" spans="1:13">
      <c r="A8" s="6" t="s">
        <v>31</v>
      </c>
      <c r="D8" s="1" t="s">
        <v>32</v>
      </c>
      <c r="E8" s="65">
        <v>0</v>
      </c>
      <c r="F8" s="56" t="str">
        <f>IF(COUNT(D35:D38)=0,"",IF(AVERAGE(D35:D38)&lt;4,"Tight",
   IF(AVERAGE(D35:D38)&lt;6,"Neutral",
      IF(AVERAGE(D35:D38)&lt;=10,"Loose",""))))</f>
        <v>Loose</v>
      </c>
      <c r="G8" s="1" t="s">
        <v>34</v>
      </c>
      <c r="H8" s="57" t="str">
        <f>IF(B57&lt;40,"Fear",IF(B57&lt;=70,"Neutral","Greed"))</f>
        <v>Neutral</v>
      </c>
      <c r="I8" s="1" t="s">
        <v>35</v>
      </c>
      <c r="J8" s="58" t="str" cm="1">
        <f t="array" ref="J8">_xlfn.IFS(
    AND(B5&lt;15000,H8="Fear",F8="Tight"),                 "Fear / Capitulation",
    AND(B5&lt;25000,H8="Neutral"),                         "Early Accumulation",
    AND(B5&lt;35000,H8="Neutral",C28&gt;=0.9),                "Early Momentum",
    AND(B5&lt;40000,H8="Greed",F8&lt;&gt;"Tight"),               "Late Expansion",
    AND(B5&gt;=40000,H8="Greed"),                          "FOMO / Blow-off",
    AND(B5&gt;=25000,H8&lt;&gt;"Greed",C28&lt;0.9),                 "Downturn / Repricing",
    TRUE,                                               "Mid-cycle / Neutral"
)</f>
        <v>Early Accumulation</v>
      </c>
    </row>
    <row r="9" spans="1:13">
      <c r="B9" s="1" t="s">
        <v>36</v>
      </c>
      <c r="C9" s="1" t="s">
        <v>37</v>
      </c>
      <c r="G9" s="1" t="s">
        <v>38</v>
      </c>
      <c r="H9" s="3" t="str">
        <f>IF($B$5&lt;=15000,"10–15k",IF($B$5&lt;=25000,"15–25k",IF($B$5&lt;=40000,"25–40k","&gt;40k")))</f>
        <v>15–25k</v>
      </c>
      <c r="I9" s="41">
        <v>26400</v>
      </c>
      <c r="J9" t="s">
        <v>135</v>
      </c>
    </row>
    <row r="10" spans="1:13">
      <c r="A10" s="1" t="s">
        <v>39</v>
      </c>
      <c r="B10" t="s">
        <v>40</v>
      </c>
      <c r="C10" t="s">
        <v>41</v>
      </c>
      <c r="G10" s="13" t="s">
        <v>126</v>
      </c>
      <c r="H10" s="3">
        <v>1670</v>
      </c>
      <c r="I10" s="3">
        <v>1654.89</v>
      </c>
      <c r="J10" t="s">
        <v>130</v>
      </c>
    </row>
    <row r="11" spans="1:13" ht="14.65" customHeight="1">
      <c r="A11" s="1" t="s">
        <v>42</v>
      </c>
      <c r="B11" t="s">
        <v>43</v>
      </c>
      <c r="C11" t="s">
        <v>44</v>
      </c>
      <c r="G11" s="13" t="s">
        <v>127</v>
      </c>
      <c r="H11" s="3">
        <v>1471</v>
      </c>
    </row>
    <row r="12" spans="1:13" ht="13.15" customHeight="1">
      <c r="G12" s="13" t="s">
        <v>185</v>
      </c>
      <c r="H12" s="3">
        <v>4.04</v>
      </c>
      <c r="I12" t="s">
        <v>186</v>
      </c>
    </row>
    <row r="13" spans="1:13">
      <c r="A13" s="25" t="s">
        <v>108</v>
      </c>
      <c r="C13" s="29" t="s">
        <v>111</v>
      </c>
      <c r="D13" s="29" t="s">
        <v>112</v>
      </c>
      <c r="E13" s="30" t="s">
        <v>113</v>
      </c>
      <c r="F13" s="30" t="s">
        <v>114</v>
      </c>
      <c r="G13" s="30" t="s">
        <v>115</v>
      </c>
      <c r="H13" s="30" t="s">
        <v>116</v>
      </c>
      <c r="I13" s="29" t="s">
        <v>118</v>
      </c>
      <c r="J13" s="29" t="s">
        <v>121</v>
      </c>
    </row>
    <row r="14" spans="1:13">
      <c r="B14" s="13" t="s">
        <v>109</v>
      </c>
      <c r="C14" s="26">
        <v>14.9</v>
      </c>
      <c r="D14" s="13">
        <v>16.2</v>
      </c>
      <c r="E14">
        <v>9</v>
      </c>
      <c r="F14">
        <v>13</v>
      </c>
      <c r="G14">
        <v>20</v>
      </c>
      <c r="H14">
        <v>23.5</v>
      </c>
      <c r="I14" s="31">
        <v>16</v>
      </c>
      <c r="J14" s="3">
        <v>15.5</v>
      </c>
    </row>
    <row r="15" spans="1:13">
      <c r="B15" s="13" t="s">
        <v>110</v>
      </c>
      <c r="C15" s="27">
        <v>2.0499999999999998</v>
      </c>
      <c r="D15" s="28">
        <v>2</v>
      </c>
      <c r="E15">
        <v>1.2</v>
      </c>
      <c r="F15">
        <v>1.6</v>
      </c>
      <c r="G15">
        <v>2</v>
      </c>
      <c r="H15">
        <v>2.4</v>
      </c>
      <c r="I15" s="31">
        <v>16.5</v>
      </c>
      <c r="J15">
        <v>14.5</v>
      </c>
    </row>
    <row r="16" spans="1:13" s="12" customFormat="1" ht="28.5">
      <c r="A16" s="59" t="s">
        <v>45</v>
      </c>
      <c r="B16" s="59" t="s">
        <v>46</v>
      </c>
      <c r="C16" s="59" t="s">
        <v>47</v>
      </c>
      <c r="D16" s="59" t="s">
        <v>48</v>
      </c>
      <c r="E16" s="59" t="s">
        <v>49</v>
      </c>
      <c r="F16" s="59" t="s">
        <v>50</v>
      </c>
      <c r="G16" s="59" t="s">
        <v>51</v>
      </c>
      <c r="H16" s="59" t="s">
        <v>52</v>
      </c>
      <c r="I16" s="59" t="s">
        <v>53</v>
      </c>
      <c r="J16" s="59" t="s">
        <v>54</v>
      </c>
      <c r="K16" s="59" t="s">
        <v>55</v>
      </c>
      <c r="L16" s="11" t="s">
        <v>56</v>
      </c>
      <c r="M16" s="12" t="s">
        <v>175</v>
      </c>
    </row>
    <row r="17" spans="1:13">
      <c r="A17" t="s">
        <v>10</v>
      </c>
      <c r="B17" t="s">
        <v>57</v>
      </c>
      <c r="C17" s="39">
        <f>C14-D14</f>
        <v>-1.2999999999999989</v>
      </c>
      <c r="D17" s="10">
        <f t="shared" ref="D17:D31" si="0">IF(J17=1, MAX(0,MIN(10,(I17-C17)/(I17-H17)*10)), MAX(0,MIN(10,(C17-I17)/(H17-I17)*10)))</f>
        <v>8.2499999999999964</v>
      </c>
      <c r="E17" s="10">
        <f t="shared" ref="E17:E49" si="1">D17*10</f>
        <v>82.499999999999972</v>
      </c>
      <c r="F17" s="8">
        <v>0.2</v>
      </c>
      <c r="G17" s="8">
        <f>$E$4</f>
        <v>0.35</v>
      </c>
      <c r="H17">
        <v>-2</v>
      </c>
      <c r="I17">
        <v>2</v>
      </c>
      <c r="J17">
        <v>1</v>
      </c>
      <c r="K17" t="s">
        <v>184</v>
      </c>
      <c r="L17" t="s">
        <v>59</v>
      </c>
    </row>
    <row r="18" spans="1:13">
      <c r="A18" t="s">
        <v>10</v>
      </c>
      <c r="B18" t="s">
        <v>60</v>
      </c>
      <c r="C18" s="39">
        <f>C15-D15</f>
        <v>4.9999999999999822E-2</v>
      </c>
      <c r="D18" s="10">
        <f t="shared" si="0"/>
        <v>6.3333333333333339</v>
      </c>
      <c r="E18" s="10">
        <f t="shared" si="1"/>
        <v>63.333333333333343</v>
      </c>
      <c r="F18" s="8">
        <v>0.2</v>
      </c>
      <c r="G18" s="8">
        <f>$E$4</f>
        <v>0.35</v>
      </c>
      <c r="H18">
        <v>-0.5</v>
      </c>
      <c r="I18">
        <v>1</v>
      </c>
      <c r="J18">
        <v>1</v>
      </c>
      <c r="K18" t="s">
        <v>58</v>
      </c>
      <c r="L18" t="s">
        <v>59</v>
      </c>
    </row>
    <row r="19" spans="1:13" hidden="1">
      <c r="A19" t="s">
        <v>10</v>
      </c>
      <c r="B19" t="s">
        <v>61</v>
      </c>
      <c r="C19" s="38">
        <f>C14/I14/100</f>
        <v>9.3124999999999996E-3</v>
      </c>
      <c r="D19">
        <f t="shared" si="0"/>
        <v>10</v>
      </c>
      <c r="E19">
        <f t="shared" si="1"/>
        <v>100</v>
      </c>
      <c r="F19" s="8">
        <v>0.2</v>
      </c>
      <c r="G19" s="8">
        <f>$E$4</f>
        <v>0.35</v>
      </c>
      <c r="H19">
        <v>1</v>
      </c>
      <c r="I19">
        <v>2</v>
      </c>
      <c r="J19">
        <v>1</v>
      </c>
      <c r="K19" t="s">
        <v>117</v>
      </c>
      <c r="L19" t="s">
        <v>62</v>
      </c>
    </row>
    <row r="20" spans="1:13" hidden="1">
      <c r="A20" t="s">
        <v>10</v>
      </c>
      <c r="B20" t="s">
        <v>63</v>
      </c>
      <c r="C20" s="9">
        <f>$I$15</f>
        <v>16.5</v>
      </c>
      <c r="D20" s="10">
        <f t="shared" si="0"/>
        <v>8.125</v>
      </c>
      <c r="E20" s="10">
        <f t="shared" si="1"/>
        <v>81.25</v>
      </c>
      <c r="F20" s="8">
        <v>0.2</v>
      </c>
      <c r="G20" s="8">
        <f>$E$4</f>
        <v>0.35</v>
      </c>
      <c r="H20">
        <v>18</v>
      </c>
      <c r="I20">
        <v>10</v>
      </c>
      <c r="J20">
        <v>0</v>
      </c>
      <c r="K20" t="s">
        <v>64</v>
      </c>
      <c r="L20" t="s">
        <v>62</v>
      </c>
    </row>
    <row r="21" spans="1:13">
      <c r="A21" s="34" t="s">
        <v>10</v>
      </c>
      <c r="B21" s="34" t="s">
        <v>119</v>
      </c>
      <c r="C21" s="66">
        <f>11+H12</f>
        <v>15.04</v>
      </c>
      <c r="D21" s="36">
        <f t="shared" si="0"/>
        <v>1.2000000000000011</v>
      </c>
      <c r="E21" s="36">
        <f t="shared" si="1"/>
        <v>12.000000000000011</v>
      </c>
      <c r="F21" s="35">
        <v>0.2</v>
      </c>
      <c r="G21" s="35">
        <f>$E$4</f>
        <v>0.35</v>
      </c>
      <c r="H21" s="34">
        <v>8</v>
      </c>
      <c r="I21" s="34">
        <v>16</v>
      </c>
      <c r="J21" s="34">
        <v>1</v>
      </c>
      <c r="K21" s="34" t="s">
        <v>120</v>
      </c>
      <c r="L21" s="34" t="s">
        <v>66</v>
      </c>
    </row>
    <row r="22" spans="1:13">
      <c r="A22" t="s">
        <v>16</v>
      </c>
      <c r="B22" t="s">
        <v>65</v>
      </c>
      <c r="C22" s="3">
        <v>54.68</v>
      </c>
      <c r="D22" s="10">
        <f t="shared" si="0"/>
        <v>4.3771428571428572</v>
      </c>
      <c r="E22" s="10">
        <f t="shared" si="1"/>
        <v>43.771428571428572</v>
      </c>
      <c r="F22" s="8">
        <v>0.2</v>
      </c>
      <c r="G22" s="8">
        <v>0.2</v>
      </c>
      <c r="H22">
        <v>35</v>
      </c>
      <c r="I22">
        <v>70</v>
      </c>
      <c r="J22">
        <v>1</v>
      </c>
      <c r="K22" t="s">
        <v>123</v>
      </c>
      <c r="L22" t="s">
        <v>66</v>
      </c>
    </row>
    <row r="23" spans="1:13">
      <c r="A23" t="s">
        <v>16</v>
      </c>
      <c r="B23" t="s">
        <v>67</v>
      </c>
      <c r="C23" s="4">
        <v>0.31109999999999999</v>
      </c>
      <c r="D23" s="10">
        <f t="shared" si="0"/>
        <v>8.7780000000000005</v>
      </c>
      <c r="E23" s="10">
        <f t="shared" si="1"/>
        <v>87.78</v>
      </c>
      <c r="F23" s="8">
        <v>0.15</v>
      </c>
      <c r="G23" s="8">
        <v>0.25</v>
      </c>
      <c r="H23">
        <v>0.25</v>
      </c>
      <c r="I23">
        <v>0.75</v>
      </c>
      <c r="J23">
        <v>1</v>
      </c>
      <c r="K23" t="s">
        <v>124</v>
      </c>
      <c r="L23" t="s">
        <v>66</v>
      </c>
    </row>
    <row r="24" spans="1:13">
      <c r="A24" t="s">
        <v>16</v>
      </c>
      <c r="B24" t="s">
        <v>125</v>
      </c>
      <c r="C24" s="4">
        <v>0.61329999999999996</v>
      </c>
      <c r="D24" s="10">
        <f t="shared" si="0"/>
        <v>4.14888888888889</v>
      </c>
      <c r="E24" s="10">
        <f t="shared" si="1"/>
        <v>41.488888888888901</v>
      </c>
      <c r="F24" s="8">
        <v>0.15</v>
      </c>
      <c r="G24" s="8">
        <v>0.25</v>
      </c>
      <c r="H24">
        <v>0.35</v>
      </c>
      <c r="I24">
        <v>0.8</v>
      </c>
      <c r="J24">
        <v>1</v>
      </c>
      <c r="K24" t="s">
        <v>68</v>
      </c>
      <c r="L24" t="s">
        <v>66</v>
      </c>
    </row>
    <row r="25" spans="1:13">
      <c r="A25" t="s">
        <v>16</v>
      </c>
      <c r="B25" t="s">
        <v>129</v>
      </c>
      <c r="C25" s="38">
        <f>B4/H10</f>
        <v>1.0189640718562876</v>
      </c>
      <c r="D25" s="10">
        <f t="shared" si="0"/>
        <v>1.8393213572854081</v>
      </c>
      <c r="E25" s="10">
        <f t="shared" si="1"/>
        <v>18.39321357285408</v>
      </c>
      <c r="F25" s="8">
        <v>0.1</v>
      </c>
      <c r="G25" s="8">
        <v>0.15</v>
      </c>
      <c r="H25">
        <v>0.97</v>
      </c>
      <c r="I25">
        <v>1.03</v>
      </c>
      <c r="J25">
        <v>1</v>
      </c>
      <c r="K25" t="s">
        <v>128</v>
      </c>
      <c r="L25" t="s">
        <v>66</v>
      </c>
    </row>
    <row r="26" spans="1:13">
      <c r="A26" s="34" t="s">
        <v>16</v>
      </c>
      <c r="B26" s="34" t="s">
        <v>132</v>
      </c>
      <c r="C26" s="60">
        <f>(H10-I10)/I10</f>
        <v>9.130516227664618E-3</v>
      </c>
      <c r="D26" s="36">
        <f t="shared" si="0"/>
        <v>2.7173709430838455</v>
      </c>
      <c r="E26" s="36">
        <f t="shared" si="1"/>
        <v>27.173709430838457</v>
      </c>
      <c r="F26" s="35">
        <v>0.1</v>
      </c>
      <c r="G26" s="35">
        <v>0.15</v>
      </c>
      <c r="H26" s="34">
        <v>-0.02</v>
      </c>
      <c r="I26" s="34">
        <v>0.02</v>
      </c>
      <c r="J26" s="34">
        <v>1</v>
      </c>
      <c r="K26" s="34" t="s">
        <v>131</v>
      </c>
      <c r="L26" s="34" t="s">
        <v>66</v>
      </c>
    </row>
    <row r="27" spans="1:13">
      <c r="A27" t="inlineStr">
        <is>
          <t>Flow</t>
        </is>
      </c>
      <c r="B27" t="s">
        <v>69</v>
      </c>
      <c r="C27">
        <f>B5/I9</f>
        <v>0.7790530303030303</v>
      </c>
      <c r="D27" s="10">
        <f t="shared" si="0"/>
        <v>4.4763257575757578</v>
      </c>
      <c r="E27" s="10">
        <f t="shared" si="1"/>
        <v>44.763257575757578</v>
      </c>
      <c r="F27" s="8">
        <v>0.2</v>
      </c>
      <c r="G27" s="8">
        <f t="shared" ref="G27:G33" si="2">$E$6</f>
        <v>0.2</v>
      </c>
      <c r="H27">
        <v>1</v>
      </c>
      <c r="I27">
        <v>0.6</v>
      </c>
      <c r="J27">
        <v>1</v>
      </c>
      <c r="K27" t="s">
        <v>70</v>
      </c>
      <c r="L27" t="s">
        <v>66</v>
      </c>
      <c r="M27" t="s">
        <v>134</v>
      </c>
    </row>
    <row r="28" spans="1:13">
      <c r="A28" t="s">
        <v>22</v>
      </c>
      <c r="B28" t="s">
        <v>136</v>
      </c>
      <c r="C28" s="33">
        <f>135/178</f>
        <v>0.7584269662921348</v>
      </c>
      <c r="D28" s="10">
        <f t="shared" si="0"/>
        <v>7.1285892634207233</v>
      </c>
      <c r="E28" s="10">
        <f t="shared" si="1"/>
        <v>71.285892634207229</v>
      </c>
      <c r="F28" s="8">
        <v>0.1</v>
      </c>
      <c r="G28" s="8">
        <f t="shared" si="2"/>
        <v>0.2</v>
      </c>
      <c r="H28" s="9">
        <v>0.5</v>
      </c>
      <c r="I28" s="9">
        <v>1.4</v>
      </c>
      <c r="J28">
        <v>1</v>
      </c>
      <c r="K28" s="54" t="s">
        <v>173</v>
      </c>
      <c r="L28" t="s">
        <v>66</v>
      </c>
      <c r="M28" t="s">
        <v>137</v>
      </c>
    </row>
    <row r="29" spans="1:13" hidden="1">
      <c r="A29" t="s">
        <v>22</v>
      </c>
      <c r="B29" t="s">
        <v>150</v>
      </c>
      <c r="C29" s="46">
        <v>1.05</v>
      </c>
      <c r="D29" s="10">
        <f t="shared" si="0"/>
        <v>3.5714285714285712</v>
      </c>
      <c r="E29" s="10">
        <f t="shared" si="1"/>
        <v>35.714285714285708</v>
      </c>
      <c r="F29" s="8">
        <v>0.2</v>
      </c>
      <c r="G29" s="8">
        <f t="shared" si="2"/>
        <v>0.2</v>
      </c>
      <c r="H29">
        <v>0.6</v>
      </c>
      <c r="I29">
        <v>1.3</v>
      </c>
      <c r="J29">
        <v>1</v>
      </c>
      <c r="K29" t="s">
        <v>71</v>
      </c>
      <c r="L29" t="s">
        <v>62</v>
      </c>
    </row>
    <row r="30" spans="1:13">
      <c r="A30" t="s">
        <v>22</v>
      </c>
      <c r="B30" t="s">
        <v>72</v>
      </c>
      <c r="C30" s="4">
        <v>0.2006</v>
      </c>
      <c r="D30" s="10">
        <f t="shared" si="0"/>
        <v>4.97</v>
      </c>
      <c r="E30" s="10">
        <f t="shared" si="1"/>
        <v>49.699999999999996</v>
      </c>
      <c r="F30" s="8">
        <v>0.1</v>
      </c>
      <c r="G30" s="8">
        <f t="shared" si="2"/>
        <v>0.2</v>
      </c>
      <c r="H30">
        <v>0.1</v>
      </c>
      <c r="I30">
        <v>0.3</v>
      </c>
      <c r="J30">
        <v>1</v>
      </c>
      <c r="K30" t="s">
        <v>176</v>
      </c>
      <c r="L30" t="s">
        <v>66</v>
      </c>
    </row>
    <row r="31" spans="1:13">
      <c r="A31" t="s">
        <v>22</v>
      </c>
      <c r="B31" t="s">
        <v>73</v>
      </c>
      <c r="C31" s="3">
        <v>-35.299999999999997</v>
      </c>
      <c r="D31" s="10">
        <f t="shared" si="0"/>
        <v>9.6470000000000002</v>
      </c>
      <c r="E31" s="10">
        <f t="shared" si="1"/>
        <v>96.47</v>
      </c>
      <c r="F31" s="8">
        <v>0.1</v>
      </c>
      <c r="G31" s="8">
        <f t="shared" si="2"/>
        <v>0.2</v>
      </c>
      <c r="H31">
        <v>0</v>
      </c>
      <c r="I31">
        <v>-1000</v>
      </c>
      <c r="J31">
        <v>0</v>
      </c>
      <c r="K31" t="s">
        <v>74</v>
      </c>
      <c r="L31" t="s">
        <v>66</v>
      </c>
    </row>
    <row r="32" spans="1:13">
      <c r="A32" t="s">
        <v>22</v>
      </c>
      <c r="B32" t="s">
        <v>164</v>
      </c>
      <c r="C32" s="32">
        <v>0.6</v>
      </c>
      <c r="D32" s="10">
        <f t="shared" ref="D32" si="3">IF(J32=1, MAX(0,MIN(10,(I32-C32)/(I32-H32)*10)), MAX(0,MIN(10,(C32-I32)/(H32-I32)*10)))</f>
        <v>4</v>
      </c>
      <c r="E32" s="10">
        <f t="shared" ref="E32" si="4">D32*10</f>
        <v>40</v>
      </c>
      <c r="F32" s="8">
        <v>0.15</v>
      </c>
      <c r="G32" s="8">
        <v>0.15</v>
      </c>
      <c r="H32" s="37">
        <v>0</v>
      </c>
      <c r="I32" s="37">
        <v>1</v>
      </c>
      <c r="J32">
        <v>1</v>
      </c>
      <c r="K32" t="s">
        <v>165</v>
      </c>
      <c r="L32" t="s">
        <v>59</v>
      </c>
    </row>
    <row r="33" spans="1:13">
      <c r="A33" s="34" t="s">
        <v>22</v>
      </c>
      <c r="B33" s="34" t="s">
        <v>21</v>
      </c>
      <c r="C33" s="42">
        <f>$B$5</f>
        <v>20567</v>
      </c>
      <c r="D33" s="36">
        <f>IF(C33&lt;=15000,10,IF(C33&lt;=25000,7,IF(C33&lt;=40000,4,2)))</f>
        <v>7</v>
      </c>
      <c r="E33" s="36">
        <f t="shared" si="1"/>
        <v>70</v>
      </c>
      <c r="F33" s="35">
        <v>0.15</v>
      </c>
      <c r="G33" s="35">
        <f t="shared" si="2"/>
        <v>0.2</v>
      </c>
      <c r="H33" s="34">
        <v>15000</v>
      </c>
      <c r="I33" s="34">
        <v>40000</v>
      </c>
      <c r="J33" s="34">
        <v>1</v>
      </c>
      <c r="K33" s="34" t="s">
        <v>75</v>
      </c>
      <c r="L33" s="34" t="s">
        <v>66</v>
      </c>
    </row>
    <row r="34" spans="1:13" hidden="1">
      <c r="A34" t="s">
        <v>26</v>
      </c>
      <c r="B34" t="s">
        <v>139</v>
      </c>
      <c r="C34" s="3">
        <v>8</v>
      </c>
      <c r="D34" s="10">
        <f t="shared" ref="D34:D49" si="5">IF(J34=1, MAX(0,MIN(10,(I34-C34)/(I34-H34)*10)), MAX(0,MIN(10,(C34-I34)/(H34-I34)*10)))</f>
        <v>8</v>
      </c>
      <c r="E34" s="10">
        <f t="shared" si="1"/>
        <v>80</v>
      </c>
      <c r="F34" s="8">
        <v>0.2</v>
      </c>
      <c r="G34" s="8">
        <f t="shared" ref="G34:G40" si="6">$E$7</f>
        <v>0.25</v>
      </c>
      <c r="H34">
        <v>8.5</v>
      </c>
      <c r="I34">
        <v>6</v>
      </c>
      <c r="J34">
        <v>0</v>
      </c>
      <c r="K34" t="s">
        <v>138</v>
      </c>
      <c r="L34" t="s">
        <v>62</v>
      </c>
    </row>
    <row r="35" spans="1:13">
      <c r="A35" t="s">
        <v>26</v>
      </c>
      <c r="B35" t="s">
        <v>76</v>
      </c>
      <c r="C35" s="3">
        <v>16.14</v>
      </c>
      <c r="D35" s="10">
        <f t="shared" si="5"/>
        <v>10</v>
      </c>
      <c r="E35" s="10">
        <f t="shared" si="1"/>
        <v>100</v>
      </c>
      <c r="F35" s="8">
        <v>0.2</v>
      </c>
      <c r="G35" s="8">
        <f t="shared" si="6"/>
        <v>0.25</v>
      </c>
      <c r="H35">
        <v>15</v>
      </c>
      <c r="I35">
        <v>12</v>
      </c>
      <c r="J35">
        <v>0</v>
      </c>
      <c r="K35" t="s">
        <v>145</v>
      </c>
      <c r="L35" t="s">
        <v>59</v>
      </c>
    </row>
    <row r="36" spans="1:13">
      <c r="A36" t="s">
        <v>26</v>
      </c>
      <c r="B36" t="s">
        <v>182</v>
      </c>
      <c r="C36" s="3">
        <v>70</v>
      </c>
      <c r="D36" s="10">
        <f t="shared" ref="D36" si="7">IF(J36=1, MAX(0,MIN(10,(I36-C36)/(I36-H36)*10)), MAX(0,MIN(10,(C36-I36)/(H36-I36)*10)))</f>
        <v>8.5</v>
      </c>
      <c r="E36" s="10">
        <f t="shared" ref="E36" si="8">D36*10</f>
        <v>85</v>
      </c>
      <c r="F36" s="8">
        <v>0.1</v>
      </c>
      <c r="G36" s="8">
        <f t="shared" si="6"/>
        <v>0.25</v>
      </c>
      <c r="H36">
        <v>100</v>
      </c>
      <c r="I36">
        <v>-100</v>
      </c>
      <c r="J36">
        <v>0</v>
      </c>
      <c r="K36" s="64" t="s">
        <v>183</v>
      </c>
      <c r="L36" t="s">
        <v>66</v>
      </c>
    </row>
    <row r="37" spans="1:13">
      <c r="A37" t="s">
        <v>26</v>
      </c>
      <c r="B37" t="s">
        <v>166</v>
      </c>
      <c r="C37" s="33">
        <v>9</v>
      </c>
      <c r="D37" s="10">
        <f t="shared" ref="D37:D39" si="9">IF(J37=1, MAX(0,MIN(10,(I37-C37)/(I37-H37)*10)), MAX(0,MIN(10,(C37-I37)/(H37-I37)*10)))</f>
        <v>5.7142857142857135</v>
      </c>
      <c r="E37" s="10">
        <f t="shared" ref="E37:E39" si="10">D37*10</f>
        <v>57.142857142857139</v>
      </c>
      <c r="F37" s="43">
        <v>0.1</v>
      </c>
      <c r="G37" s="43">
        <f t="shared" si="6"/>
        <v>0.25</v>
      </c>
      <c r="H37">
        <v>6</v>
      </c>
      <c r="I37">
        <v>13</v>
      </c>
      <c r="J37">
        <v>1</v>
      </c>
      <c r="K37" t="s">
        <v>141</v>
      </c>
      <c r="L37" t="s">
        <v>66</v>
      </c>
      <c r="M37" t="s">
        <v>147</v>
      </c>
    </row>
    <row r="38" spans="1:13">
      <c r="A38" t="s">
        <v>26</v>
      </c>
      <c r="B38" t="s">
        <v>146</v>
      </c>
      <c r="C38" s="33">
        <v>5.32</v>
      </c>
      <c r="D38" s="10">
        <f t="shared" ref="D38" si="11">IF(J38=1, MAX(0,MIN(10,(I38-C38)/(I38-H38)*10)), MAX(0,MIN(10,(C38-I38)/(H38-I38)*10)))</f>
        <v>10</v>
      </c>
      <c r="E38" s="10">
        <f t="shared" ref="E38" si="12">D38*10</f>
        <v>100</v>
      </c>
      <c r="F38" s="43">
        <v>0.1</v>
      </c>
      <c r="G38" s="43">
        <f t="shared" si="6"/>
        <v>0.25</v>
      </c>
      <c r="H38">
        <v>5.5</v>
      </c>
      <c r="I38">
        <v>8</v>
      </c>
      <c r="J38">
        <v>0</v>
      </c>
      <c r="K38" t="s">
        <v>148</v>
      </c>
      <c r="L38" t="s">
        <v>66</v>
      </c>
    </row>
    <row r="39" spans="1:13">
      <c r="A39" t="s">
        <v>26</v>
      </c>
      <c r="B39" t="s">
        <v>149</v>
      </c>
      <c r="C39" s="61">
        <f>B7/B6-1</f>
        <v>3.9763779527559162E-2</v>
      </c>
      <c r="D39" s="10">
        <f t="shared" si="9"/>
        <v>5.1181102362204189</v>
      </c>
      <c r="E39" s="10">
        <f t="shared" si="10"/>
        <v>51.181102362204186</v>
      </c>
      <c r="F39" s="43">
        <v>0.15</v>
      </c>
      <c r="G39" s="43">
        <f t="shared" si="6"/>
        <v>0.25</v>
      </c>
      <c r="H39" s="43">
        <v>0.03</v>
      </c>
      <c r="I39" s="43">
        <v>0.05</v>
      </c>
      <c r="J39">
        <v>1</v>
      </c>
      <c r="K39" t="s">
        <v>144</v>
      </c>
      <c r="L39" t="s">
        <v>66</v>
      </c>
    </row>
    <row r="40" spans="1:13">
      <c r="A40" s="34" t="s">
        <v>26</v>
      </c>
      <c r="B40" s="34" t="s">
        <v>77</v>
      </c>
      <c r="C40" s="40">
        <v>3.4</v>
      </c>
      <c r="D40" s="36">
        <f t="shared" si="5"/>
        <v>7.3333333333333339</v>
      </c>
      <c r="E40" s="36">
        <f t="shared" si="1"/>
        <v>73.333333333333343</v>
      </c>
      <c r="F40" s="35">
        <v>0.15</v>
      </c>
      <c r="G40" s="35">
        <f t="shared" si="6"/>
        <v>0.25</v>
      </c>
      <c r="H40" s="34">
        <v>3</v>
      </c>
      <c r="I40" s="34">
        <v>4.5</v>
      </c>
      <c r="J40" s="34">
        <v>1</v>
      </c>
      <c r="K40" s="34" t="s">
        <v>140</v>
      </c>
      <c r="L40" s="34" t="s">
        <v>59</v>
      </c>
    </row>
    <row r="41" spans="1:13">
      <c r="A41" t="s">
        <v>32</v>
      </c>
      <c r="B41" t="s">
        <v>78</v>
      </c>
      <c r="C41" s="13">
        <v>48</v>
      </c>
      <c r="D41" s="10">
        <f t="shared" si="5"/>
        <v>7.333333333333333</v>
      </c>
      <c r="E41" s="10">
        <f t="shared" si="1"/>
        <v>73.333333333333329</v>
      </c>
      <c r="F41" s="8">
        <v>0.15</v>
      </c>
      <c r="G41" s="24" t="str">
        <f t="shared" ref="G41:G49" si="13">$E$8</f>
        <v>Macro Regime</v>
      </c>
      <c r="H41">
        <v>40</v>
      </c>
      <c r="I41">
        <v>70</v>
      </c>
      <c r="J41">
        <v>1</v>
      </c>
      <c r="K41" t="s">
        <v>155</v>
      </c>
      <c r="L41" t="s">
        <v>66</v>
      </c>
      <c r="M41" t="s">
        <v>177</v>
      </c>
    </row>
    <row r="42" spans="1:13" hidden="1">
      <c r="A42" t="s">
        <v>32</v>
      </c>
      <c r="B42" t="s">
        <v>79</v>
      </c>
      <c r="C42" s="3">
        <v>0.2</v>
      </c>
      <c r="D42" s="10">
        <f t="shared" si="5"/>
        <v>7.4999999999999991</v>
      </c>
      <c r="E42" s="10">
        <f t="shared" si="1"/>
        <v>74.999999999999986</v>
      </c>
      <c r="F42" s="8">
        <v>0.1</v>
      </c>
      <c r="G42" s="24" t="str">
        <f t="shared" si="13"/>
        <v>Macro Regime</v>
      </c>
      <c r="H42">
        <v>0.1</v>
      </c>
      <c r="I42">
        <v>0.5</v>
      </c>
      <c r="J42">
        <v>1</v>
      </c>
      <c r="K42" t="s">
        <v>157</v>
      </c>
      <c r="L42" t="s">
        <v>62</v>
      </c>
    </row>
    <row r="43" spans="1:13">
      <c r="A43" t="s">
        <v>32</v>
      </c>
      <c r="B43" t="s">
        <v>174</v>
      </c>
      <c r="C43" s="3">
        <v>0.8</v>
      </c>
      <c r="D43" s="10">
        <f t="shared" si="5"/>
        <v>3.3333333333333282</v>
      </c>
      <c r="E43" s="10">
        <f t="shared" si="1"/>
        <v>33.333333333333279</v>
      </c>
      <c r="F43" s="8">
        <v>0.15</v>
      </c>
      <c r="G43" s="24" t="str">
        <f t="shared" si="13"/>
        <v>Macro Regime</v>
      </c>
      <c r="H43">
        <v>0.7</v>
      </c>
      <c r="I43">
        <v>0.85</v>
      </c>
      <c r="J43">
        <v>1</v>
      </c>
      <c r="K43" t="s">
        <v>153</v>
      </c>
      <c r="L43" t="s">
        <v>59</v>
      </c>
    </row>
    <row r="44" spans="1:13" hidden="1">
      <c r="A44" t="s">
        <v>32</v>
      </c>
      <c r="B44" t="s">
        <v>151</v>
      </c>
      <c r="C44" s="9">
        <f>(C14-D14)/2.3</f>
        <v>-0.56521739130434745</v>
      </c>
      <c r="D44" s="10">
        <f t="shared" si="5"/>
        <v>7.8260869565217375</v>
      </c>
      <c r="E44" s="10">
        <f t="shared" si="1"/>
        <v>78.260869565217376</v>
      </c>
      <c r="F44" s="8">
        <v>0.1</v>
      </c>
      <c r="G44" s="24" t="str">
        <f t="shared" si="13"/>
        <v>Macro Regime</v>
      </c>
      <c r="H44">
        <v>-1</v>
      </c>
      <c r="I44">
        <v>1</v>
      </c>
      <c r="J44">
        <v>1</v>
      </c>
      <c r="K44" t="s">
        <v>152</v>
      </c>
      <c r="L44" t="s">
        <v>62</v>
      </c>
    </row>
    <row r="45" spans="1:13">
      <c r="A45" t="s">
        <v>32</v>
      </c>
      <c r="B45" t="s">
        <v>80</v>
      </c>
      <c r="C45" s="4">
        <v>0.15</v>
      </c>
      <c r="D45" s="10">
        <f t="shared" si="5"/>
        <v>4.1666666666666679</v>
      </c>
      <c r="E45" s="10">
        <f t="shared" si="1"/>
        <v>41.666666666666679</v>
      </c>
      <c r="F45" s="8">
        <v>0.05</v>
      </c>
      <c r="G45" s="24" t="str">
        <f t="shared" si="13"/>
        <v>Macro Regime</v>
      </c>
      <c r="H45" s="8">
        <v>0.08</v>
      </c>
      <c r="I45" s="8">
        <v>0.2</v>
      </c>
      <c r="J45">
        <v>1</v>
      </c>
      <c r="K45" t="s">
        <v>156</v>
      </c>
      <c r="L45" t="s">
        <v>66</v>
      </c>
    </row>
    <row r="46" spans="1:13">
      <c r="A46" t="s">
        <v>32</v>
      </c>
      <c r="B46" s="62" t="s">
        <v>178</v>
      </c>
      <c r="C46" s="4">
        <v>0.6</v>
      </c>
      <c r="D46" s="10">
        <f t="shared" si="5"/>
        <v>7.5</v>
      </c>
      <c r="E46" s="10">
        <f t="shared" ref="E46:E47" si="14">D46*10</f>
        <v>75</v>
      </c>
      <c r="F46" s="8">
        <v>0.1</v>
      </c>
      <c r="G46" s="24" t="str">
        <f t="shared" si="13"/>
        <v>Macro Regime</v>
      </c>
      <c r="H46" s="8">
        <v>0.7</v>
      </c>
      <c r="I46" s="8">
        <v>0.3</v>
      </c>
      <c r="J46">
        <v>1</v>
      </c>
      <c r="K46" t="s">
        <v>179</v>
      </c>
      <c r="L46" t="s">
        <v>66</v>
      </c>
    </row>
    <row r="47" spans="1:13">
      <c r="A47" t="s">
        <v>32</v>
      </c>
      <c r="B47" s="63" t="s">
        <v>180</v>
      </c>
      <c r="C47" s="4">
        <v>-0.18429999999999999</v>
      </c>
      <c r="D47" s="10">
        <f t="shared" ref="D47" si="15">IF(J47=1, MAX(0,MIN(10,(I47-C47)/(I47-H47)*10)), MAX(0,MIN(10,(C47-I47)/(H47-I47)*10)))</f>
        <v>0</v>
      </c>
      <c r="E47" s="10">
        <f t="shared" si="14"/>
        <v>0</v>
      </c>
      <c r="F47" s="8">
        <v>0.05</v>
      </c>
      <c r="G47" s="24" t="str">
        <f t="shared" si="13"/>
        <v>Macro Regime</v>
      </c>
      <c r="H47" s="8">
        <v>0.1</v>
      </c>
      <c r="I47" s="8">
        <v>-0.1</v>
      </c>
      <c r="J47">
        <v>1</v>
      </c>
      <c r="K47" t="s">
        <v>187</v>
      </c>
      <c r="L47" t="s">
        <v>66</v>
      </c>
    </row>
    <row r="48" spans="1:13">
      <c r="A48" t="s">
        <v>32</v>
      </c>
      <c r="B48" t="s">
        <v>158</v>
      </c>
      <c r="C48" s="46">
        <v>4</v>
      </c>
      <c r="D48" s="10">
        <f t="shared" ref="D48" si="16">IF(J48=1, MAX(0,MIN(10,(I48-C48)/(I48-H48)*10)), MAX(0,MIN(10,(C48-I48)/(H48-I48)*10)))</f>
        <v>10</v>
      </c>
      <c r="E48" s="10">
        <f t="shared" ref="E48" si="17">D48*10</f>
        <v>100</v>
      </c>
      <c r="F48" s="8">
        <v>0.2</v>
      </c>
      <c r="G48" s="24" t="str">
        <f t="shared" si="13"/>
        <v>Macro Regime</v>
      </c>
      <c r="H48" s="47">
        <v>4</v>
      </c>
      <c r="I48" s="47">
        <v>8</v>
      </c>
      <c r="J48">
        <v>1</v>
      </c>
      <c r="K48" s="54" t="s">
        <v>159</v>
      </c>
      <c r="L48" t="s">
        <v>66</v>
      </c>
      <c r="M48" t="s">
        <v>160</v>
      </c>
    </row>
    <row r="49" spans="1:12">
      <c r="A49" t="s">
        <v>32</v>
      </c>
      <c r="B49" t="s">
        <v>154</v>
      </c>
      <c r="C49" s="32">
        <v>0.1</v>
      </c>
      <c r="D49" s="10">
        <f t="shared" si="5"/>
        <v>7.5000000000000009</v>
      </c>
      <c r="E49" s="10">
        <f t="shared" si="1"/>
        <v>75.000000000000014</v>
      </c>
      <c r="F49" s="8">
        <v>0.1</v>
      </c>
      <c r="G49" s="24" t="str">
        <f t="shared" si="13"/>
        <v>Macro Regime</v>
      </c>
      <c r="H49" s="37">
        <v>0.2</v>
      </c>
      <c r="I49" s="37">
        <v>-0.2</v>
      </c>
      <c r="J49">
        <v>0</v>
      </c>
      <c r="K49" t="s">
        <v>81</v>
      </c>
      <c r="L49" t="s">
        <v>59</v>
      </c>
    </row>
    <row r="50" spans="1:12">
      <c r="C50" s="48"/>
      <c r="D50" s="10"/>
      <c r="E50" s="10"/>
      <c r="F50" s="8"/>
      <c r="G50" s="24"/>
      <c r="H50" s="37"/>
      <c r="I50" s="37"/>
    </row>
    <row r="52" spans="1:12">
      <c r="A52" s="1" t="s">
        <v>82</v>
      </c>
    </row>
    <row r="53" spans="1:12">
      <c r="A53" s="14" t="s">
        <v>10</v>
      </c>
      <c r="B53" s="15">
        <f>IF(SUMIF(A17:A49,"Value",F17:F49)=0,0,SUMPRODUCT((A17:A49="Value")*(E17:E49),F17:F49)/SUMIF(A17:A49,"Value",F17:F49))</f>
        <v>67.816666666666663</v>
      </c>
    </row>
    <row r="54" spans="1:12">
      <c r="A54" s="16" t="s">
        <v>122</v>
      </c>
      <c r="B54" s="17">
        <f>IF(SUMIF(A17:A49,"Technical",F17:F49)=0,0,SUMPRODUCT((A17:A49="Technical")*(E17:E49),F17:F49)/SUMIF(A17:A49,"Technical",F17:F49))</f>
        <v>46.716159068554717</v>
      </c>
    </row>
    <row r="55" spans="1:12">
      <c r="A55" s="18" t="s">
        <v>22</v>
      </c>
      <c r="B55" s="19">
        <f>IF(SUMIF(A17:A49,"Flow",F17:F49)=0,0,SUMPRODUCT((A17:A49="Flow")*(E17:E49),F17:F49)/SUMIF(A17:A49,"Flow",F17:F49))</f>
        <v>56.735558007847331</v>
      </c>
    </row>
    <row r="56" spans="1:12">
      <c r="A56" s="20" t="s">
        <v>26</v>
      </c>
      <c r="B56" s="21">
        <f>IF(SUMIF(A17:A49,"Macro",F17:F49)=0,0,SUMPRODUCT((A17:A49="Macro")*(E17:E49),F17:F49)/SUMIF(A17:A49,"Macro",F17:F49))</f>
        <v>78.891451068616348</v>
      </c>
    </row>
    <row r="57" spans="1:12">
      <c r="A57" s="22" t="s">
        <v>32</v>
      </c>
      <c r="B57" s="23" cm="1">
        <f t="array" ref="B57">IF(SUMIF(A17:A49,"CyclePsych",F17:F49)=0,0,SUMPRODUCT((A17:A49="CyclePsych")*(E17:E49),F17:F49)/SUMIF(A17:A49,"CyclePsych",F17:F49))</f>
        <v>68.409420289855049</v>
      </c>
    </row>
    <row r="59" spans="1:12">
      <c r="A59" s="1" t="s">
        <v>83</v>
      </c>
      <c r="B59" s="52">
        <f>SUMPRODUCT(B53:B57,$E$4:$E$8)</f>
        <v>64.149039515767825</v>
      </c>
    </row>
    <row r="60" spans="1:12">
      <c r="A60" s="1" t="s">
        <v>84</v>
      </c>
      <c r="B60" s="53" t="str">
        <f>IF(B59&gt;=80,"Rủi ro (giảm beta)",IF(B59&gt;=60,"Trung tính (giữ barbell)","Tích lũy (mở vị thế)"))</f>
        <v>Trung tính (giữ barbell)</v>
      </c>
    </row>
    <row r="61" spans="1:12">
      <c r="A61" s="1" t="s">
        <v>85</v>
      </c>
      <c r="B61" s="51" cm="1">
        <f t="array" ref="B61">MAX(
   0,
   MIN(
      1.5,
      (MarketScore/100) *
      _xlfn.IFS(
         CyclePhase="Fear / Capitulation",   1.4,
         CyclePhase="Early Recovery",        1.3,
         CyclePhase="Early Accumulation",    1.2,
         CyclePhase="Mid-cycle / Neutral",   1,
         CyclePhase="Late Expansion",        0.85,
         CyclePhase="Downturn / Repricing",  0.8,
         CyclePhase="FOMO / Blow-off",       0.7,
         TRUE,                               1
      )
   )
)*1.2</f>
        <v>0.92374616902705664</v>
      </c>
      <c r="C61" t="s">
        <v>172</v>
      </c>
    </row>
    <row r="62" spans="1:12">
      <c r="A62" s="1" t="s">
        <v>86</v>
      </c>
      <c r="B62" s="55" t="str">
        <f>IF(B61&gt;1,1-B61,"zero")</f>
        <v>zero</v>
      </c>
    </row>
    <row r="64" spans="1:12">
      <c r="A64" s="6" t="s">
        <v>87</v>
      </c>
    </row>
    <row r="65" spans="1:5">
      <c r="A65" s="49" t="s">
        <v>88</v>
      </c>
      <c r="B65" s="49" t="s">
        <v>89</v>
      </c>
      <c r="C65" s="49" t="s">
        <v>90</v>
      </c>
      <c r="D65" s="49" t="s">
        <v>91</v>
      </c>
      <c r="E65" s="1" t="s">
        <v>55</v>
      </c>
    </row>
    <row r="66" spans="1:5">
      <c r="A66" t="s">
        <v>92</v>
      </c>
      <c r="B66" t="s">
        <v>93</v>
      </c>
      <c r="C66" s="51">
        <f>IF(B59&lt;60,0.7,IF(B59&gt;80,0.5,0.6))</f>
        <v>0.6</v>
      </c>
      <c r="D66" s="50">
        <f>C66*B61</f>
        <v>0.55424770141623392</v>
      </c>
      <c r="E66" t="s">
        <v>161</v>
      </c>
    </row>
    <row r="67" spans="1:5">
      <c r="A67" t="s">
        <v>94</v>
      </c>
      <c r="B67" t="s">
        <v>95</v>
      </c>
      <c r="C67" s="51">
        <f>IF(B59&lt;60,0.2,IF(B59&gt;80,0.3,0.25))</f>
        <v>0.25</v>
      </c>
      <c r="D67" s="50">
        <f>C67*B61</f>
        <v>0.23093654225676416</v>
      </c>
      <c r="E67" t="s">
        <v>162</v>
      </c>
    </row>
    <row r="68" spans="1:5">
      <c r="A68" t="s">
        <v>96</v>
      </c>
      <c r="B68" t="s">
        <v>97</v>
      </c>
      <c r="C68" s="51">
        <f>MAX(0,1-C66-C67)</f>
        <v>0.15000000000000002</v>
      </c>
      <c r="D68" s="50">
        <f>C68*B61</f>
        <v>0.13856192535405851</v>
      </c>
      <c r="E68" t="s">
        <v>98</v>
      </c>
    </row>
    <row r="69" spans="1:5">
      <c r="A69" t="s">
        <v>99</v>
      </c>
      <c r="B69" t="s">
        <v>100</v>
      </c>
      <c r="D69" s="50">
        <f>1-B61</f>
        <v>7.6253830972943359E-2</v>
      </c>
      <c r="E69" t="s">
        <v>101</v>
      </c>
    </row>
    <row r="71" spans="1:5">
      <c r="A71" s="6" t="s">
        <v>102</v>
      </c>
    </row>
    <row r="72" spans="1:5">
      <c r="A72" s="18" t="str">
        <f>IF(B59&gt;=80,"Late-cycle / FOMO – Giảm beta, tăng C-layer, nâng tiền mặt.",IF(B59&gt;=60,"Mid-cycle – Giữ barbell cân bằng, xoay G-layer có chọn lọc.","Early recovery / Fear zone – Tăng giải ngân G-layer, ưu tiên value &amp; quality."))</f>
        <v>Mid-cycle – Giữ barbell cân bằng, xoay G-layer có chọn lọc.</v>
      </c>
      <c r="B72" s="18"/>
    </row>
    <row r="75" spans="1:5">
      <c r="A75" s="6" t="s">
        <v>103</v>
      </c>
    </row>
    <row r="76" spans="1:5">
      <c r="A76" t="s">
        <v>104</v>
      </c>
    </row>
    <row r="77" spans="1:5">
      <c r="A77" t="s">
        <v>105</v>
      </c>
    </row>
    <row r="78" spans="1:5">
      <c r="A78" t="s">
        <v>106</v>
      </c>
    </row>
    <row r="79" spans="1:5">
      <c r="A79" t="s">
        <v>107</v>
      </c>
    </row>
    <row r="80" spans="1:5">
      <c r="A80" t="s">
        <v>163</v>
      </c>
    </row>
  </sheetData>
  <dataConsolidate/>
  <conditionalFormatting sqref="D17:D50">
    <cfRule type="colorScale" priority="3">
      <colorScale>
        <cfvo type="num" val="0"/>
        <cfvo type="num" val="5"/>
        <cfvo type="num" val="10"/>
        <color rgb="FFFDECEC"/>
        <color rgb="FFFFFFCC"/>
        <color rgb="FFE6FFEA"/>
      </colorScale>
    </cfRule>
  </conditionalFormatting>
  <conditionalFormatting sqref="E17:E50">
    <cfRule type="colorScale" priority="4">
      <colorScale>
        <cfvo type="num" val="0"/>
        <cfvo type="num" val="50"/>
        <cfvo type="num" val="100"/>
        <color rgb="FFFDECEC"/>
        <color rgb="FFFFFFCC"/>
        <color rgb="FFE6FFEA"/>
      </colorScale>
    </cfRule>
  </conditionalFormatting>
  <pageMargins left="0.75" right="0.75" top="1" bottom="1" header="0.5" footer="0.5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Market_Scorecard_Polo</vt:lpstr>
      <vt:lpstr>C_SPX</vt:lpstr>
      <vt:lpstr>CyclePhase</vt:lpstr>
      <vt:lpstr>CyclePsych</vt:lpstr>
      <vt:lpstr>Macro</vt:lpstr>
      <vt:lpstr>MarketScore</vt:lpstr>
      <vt:lpstr>Net_liq</vt:lpstr>
      <vt:lpstr>OverallMarketScore</vt:lpstr>
      <vt:lpstr>PrevLiq</vt:lpstr>
      <vt:lpstr>Turnover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Bình</cp:lastModifiedBy>
  <dcterms:created xsi:type="dcterms:W3CDTF">2025-11-13T04:11:54Z</dcterms:created>
  <dcterms:modified xsi:type="dcterms:W3CDTF">2025-12-02T07:52:46Z</dcterms:modified>
</cp:coreProperties>
</file>